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files\"/>
    </mc:Choice>
  </mc:AlternateContent>
  <xr:revisionPtr revIDLastSave="0" documentId="13_ncr:1_{A2CFA8C5-5863-4817-8295-0631B97F3134}" xr6:coauthVersionLast="47" xr6:coauthVersionMax="47" xr10:uidLastSave="{00000000-0000-0000-0000-000000000000}"/>
  <bookViews>
    <workbookView xWindow="-120" yWindow="-120" windowWidth="29040" windowHeight="15840" xr2:uid="{18914D61-08DB-414A-B9BA-7A21358CBABD}"/>
  </bookViews>
  <sheets>
    <sheet name="SuperLeague24_25-RegularSeason-" sheetId="1" r:id="rId1"/>
  </sheets>
  <calcPr calcId="191029"/>
</workbook>
</file>

<file path=xl/calcChain.xml><?xml version="1.0" encoding="utf-8"?>
<calcChain xmlns="http://schemas.openxmlformats.org/spreadsheetml/2006/main">
  <c r="O11" i="1" l="1"/>
  <c r="O10" i="1"/>
  <c r="O6" i="1"/>
  <c r="O2" i="1"/>
  <c r="M10" i="1"/>
  <c r="M6" i="1"/>
  <c r="M2" i="1"/>
</calcChain>
</file>

<file path=xl/sharedStrings.xml><?xml version="1.0" encoding="utf-8"?>
<sst xmlns="http://schemas.openxmlformats.org/spreadsheetml/2006/main" count="262" uniqueCount="56">
  <si>
    <t>Home</t>
  </si>
  <si>
    <t>Away</t>
  </si>
  <si>
    <t>Stadium</t>
  </si>
  <si>
    <t>Weather</t>
  </si>
  <si>
    <t>Temperature</t>
  </si>
  <si>
    <t>Humidity</t>
  </si>
  <si>
    <t>Clouds</t>
  </si>
  <si>
    <t>HomeScore</t>
  </si>
  <si>
    <t>AwayScore</t>
  </si>
  <si>
    <t>Result</t>
  </si>
  <si>
    <t>Olympiacos F.C.</t>
  </si>
  <si>
    <t>Kallithea</t>
  </si>
  <si>
    <t>Stadio Georgios KaraiskÃ¡ki</t>
  </si>
  <si>
    <t>clear sky</t>
  </si>
  <si>
    <t>Volos NFC</t>
  </si>
  <si>
    <t>overcast clouds</t>
  </si>
  <si>
    <t>Lamia</t>
  </si>
  <si>
    <t>few clouds</t>
  </si>
  <si>
    <t>ARIS</t>
  </si>
  <si>
    <t>Asteras Tripolis</t>
  </si>
  <si>
    <t>broken clouds</t>
  </si>
  <si>
    <t>Panserraikos</t>
  </si>
  <si>
    <t>Levadiakos</t>
  </si>
  <si>
    <t>Stadio Toumbas</t>
  </si>
  <si>
    <t>ofi</t>
  </si>
  <si>
    <t>OFI</t>
  </si>
  <si>
    <t>PAOK</t>
  </si>
  <si>
    <t>panserraikos</t>
  </si>
  <si>
    <t>Panaitolikos</t>
  </si>
  <si>
    <t>Draw</t>
  </si>
  <si>
    <t>Atromitos</t>
  </si>
  <si>
    <t>Panathinaikos</t>
  </si>
  <si>
    <t>Olympiako Stadio Spyros Louis</t>
  </si>
  <si>
    <t>Aris</t>
  </si>
  <si>
    <t>scattered clouds</t>
  </si>
  <si>
    <t>Stadio Levadias</t>
  </si>
  <si>
    <t>levadiakos</t>
  </si>
  <si>
    <t>Stadio Theodoros Kolokotronis</t>
  </si>
  <si>
    <t>asteras tripolis</t>
  </si>
  <si>
    <t>light rain</t>
  </si>
  <si>
    <t>ASTERAS TRIPOLIS</t>
  </si>
  <si>
    <t>Dimotiko Athlitiko Kentro Lamias</t>
  </si>
  <si>
    <t>AEK Athens</t>
  </si>
  <si>
    <t xml:space="preserve"> </t>
  </si>
  <si>
    <t>Stadio Peristeriou</t>
  </si>
  <si>
    <t>Stadio ThÃ³doros VardinoyÃ¡nnis</t>
  </si>
  <si>
    <t>Stadio Panetolikou</t>
  </si>
  <si>
    <t>aris</t>
  </si>
  <si>
    <t>Stadio Harilaou KleÃ¡nthis VikelÃ­dis</t>
  </si>
  <si>
    <t>clear    sky</t>
  </si>
  <si>
    <t>TRIM()</t>
  </si>
  <si>
    <t>RIGHT()</t>
  </si>
  <si>
    <t>CLEAN()</t>
  </si>
  <si>
    <t>MID()</t>
  </si>
  <si>
    <t>LEFT()</t>
  </si>
  <si>
    <t>SUBSTITUTE()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</si>
</sst>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3" fillId="33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4" borderId="10" xfId="0" applyFill="1" applyBorder="1" applyAlignment="1">
      <alignment horizontal="center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A4D10-85D2-4647-9452-C805FF4E10BF}" name="Table1" displayName="Table1" ref="A1:J51" totalsRowShown="0">
  <tableColumns count="10">
    <tableColumn id="1" xr3:uid="{950781D8-AE50-4D06-B316-8B5DEF1069A5}" name="Home"/>
    <tableColumn id="2" xr3:uid="{4446B111-79CD-49CC-B8AF-52D99A00B702}" name="Away"/>
    <tableColumn id="3" xr3:uid="{1D7BDD37-3C29-4CC9-AD34-9218C8951C58}" name="Stadium"/>
    <tableColumn id="4" xr3:uid="{4D9A7FB6-4923-4E4D-950D-FD038E3A28BD}" name="Weather"/>
    <tableColumn id="5" xr3:uid="{018FE203-DFCA-4D31-B5FE-57C811C1633B}" name="Temperature"/>
    <tableColumn id="6" xr3:uid="{8A77FD34-4FBF-40CE-9BD6-05F87AA7BF7C}" name="Humidity"/>
    <tableColumn id="7" xr3:uid="{7F7F8864-0281-4F00-9605-647C93FF1F0C}" name="Clouds"/>
    <tableColumn id="8" xr3:uid="{1B2AF8F4-15E6-46E7-87F5-E8A77E241C3F}" name="HomeScore"/>
    <tableColumn id="9" xr3:uid="{65403438-E80D-42CF-B501-9C80AAA6C90F}" name="AwayScore"/>
    <tableColumn id="10" xr3:uid="{C35E3260-6714-4787-A86C-EE7C0F2453F3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4E92-DAB8-4500-BA36-7E1E9FC94BA1}">
  <dimension ref="A1:P51"/>
  <sheetViews>
    <sheetView tabSelected="1" workbookViewId="0">
      <selection activeCell="O14" sqref="O14"/>
    </sheetView>
  </sheetViews>
  <sheetFormatPr defaultRowHeight="15" x14ac:dyDescent="0.25"/>
  <cols>
    <col min="1" max="2" width="15.7109375" customWidth="1"/>
    <col min="3" max="3" width="32.85546875" customWidth="1"/>
    <col min="4" max="4" width="17.5703125" customWidth="1"/>
    <col min="5" max="5" width="13.42578125" customWidth="1"/>
    <col min="6" max="6" width="10.140625" customWidth="1"/>
    <col min="8" max="8" width="12.28515625" customWidth="1"/>
    <col min="9" max="9" width="11.85546875" customWidth="1"/>
    <col min="10" max="10" width="15.7109375" customWidth="1"/>
    <col min="13" max="13" width="24.28515625" style="2" customWidth="1"/>
    <col min="14" max="14" width="8.85546875" style="2"/>
    <col min="15" max="15" width="24.5703125" style="2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1" t="s">
        <v>50</v>
      </c>
      <c r="O1" s="1" t="s">
        <v>51</v>
      </c>
    </row>
    <row r="2" spans="1:16" x14ac:dyDescent="0.25">
      <c r="A2" t="s">
        <v>10</v>
      </c>
      <c r="B2" t="s">
        <v>11</v>
      </c>
      <c r="C2" t="s">
        <v>12</v>
      </c>
      <c r="D2" t="s">
        <v>49</v>
      </c>
      <c r="E2" s="4">
        <v>29.03</v>
      </c>
      <c r="F2">
        <v>0.36</v>
      </c>
      <c r="G2">
        <v>0.05</v>
      </c>
      <c r="H2">
        <v>2</v>
      </c>
      <c r="I2">
        <v>1</v>
      </c>
      <c r="J2" t="s">
        <v>10</v>
      </c>
      <c r="M2" s="3" t="str">
        <f>TRIM(D2)</f>
        <v>clear sky</v>
      </c>
      <c r="O2" s="3" t="str">
        <f>RIGHT(A2,7)</f>
        <v>os F.C.</v>
      </c>
    </row>
    <row r="3" spans="1:16" x14ac:dyDescent="0.25">
      <c r="A3" t="s">
        <v>10</v>
      </c>
      <c r="B3" t="s">
        <v>14</v>
      </c>
      <c r="C3" t="s">
        <v>12</v>
      </c>
      <c r="D3" t="s">
        <v>15</v>
      </c>
      <c r="E3">
        <v>15.23</v>
      </c>
      <c r="F3">
        <v>0.86</v>
      </c>
      <c r="G3">
        <v>0.37</v>
      </c>
      <c r="H3">
        <v>3</v>
      </c>
      <c r="I3">
        <v>0</v>
      </c>
      <c r="J3" t="s">
        <v>10</v>
      </c>
    </row>
    <row r="4" spans="1:16" x14ac:dyDescent="0.25">
      <c r="A4" t="s">
        <v>10</v>
      </c>
      <c r="B4" t="s">
        <v>16</v>
      </c>
      <c r="C4" t="s">
        <v>12</v>
      </c>
      <c r="D4" t="s">
        <v>17</v>
      </c>
      <c r="E4">
        <v>13.62</v>
      </c>
      <c r="G4">
        <v>0.36</v>
      </c>
      <c r="H4">
        <v>1</v>
      </c>
      <c r="I4">
        <v>0</v>
      </c>
      <c r="J4" t="s">
        <v>10</v>
      </c>
    </row>
    <row r="5" spans="1:16" x14ac:dyDescent="0.25">
      <c r="A5" t="s">
        <v>10</v>
      </c>
      <c r="B5" t="s">
        <v>18</v>
      </c>
      <c r="C5" t="s">
        <v>12</v>
      </c>
      <c r="D5" t="s">
        <v>17</v>
      </c>
      <c r="E5">
        <v>-273</v>
      </c>
      <c r="G5">
        <v>0.98</v>
      </c>
      <c r="H5">
        <v>2</v>
      </c>
      <c r="I5">
        <v>1</v>
      </c>
      <c r="J5" t="s">
        <v>10</v>
      </c>
      <c r="M5" s="1" t="s">
        <v>52</v>
      </c>
      <c r="O5" s="1" t="s">
        <v>53</v>
      </c>
    </row>
    <row r="6" spans="1:16" x14ac:dyDescent="0.25">
      <c r="A6" t="s">
        <v>10</v>
      </c>
      <c r="B6" t="s">
        <v>19</v>
      </c>
      <c r="C6" t="s">
        <v>12</v>
      </c>
      <c r="D6" t="s">
        <v>20</v>
      </c>
      <c r="E6">
        <v>7.72</v>
      </c>
      <c r="F6">
        <v>0.62</v>
      </c>
      <c r="G6">
        <v>0.06</v>
      </c>
      <c r="H6">
        <v>1</v>
      </c>
      <c r="I6">
        <v>1</v>
      </c>
      <c r="M6" s="3" t="str">
        <f>CLEAN(A4)</f>
        <v>Olympiacos F.C.</v>
      </c>
      <c r="O6" s="3" t="str">
        <f>MID(C2,7,9)</f>
        <v xml:space="preserve"> Georgios</v>
      </c>
    </row>
    <row r="7" spans="1:16" x14ac:dyDescent="0.25">
      <c r="A7" t="s">
        <v>21</v>
      </c>
      <c r="B7" t="s">
        <v>22</v>
      </c>
      <c r="C7" t="s">
        <v>23</v>
      </c>
      <c r="D7" t="s">
        <v>17</v>
      </c>
      <c r="E7">
        <v>9.1999999999999993</v>
      </c>
      <c r="F7">
        <v>0.28999999999999998</v>
      </c>
      <c r="G7">
        <v>0.08</v>
      </c>
      <c r="H7">
        <v>2</v>
      </c>
      <c r="I7">
        <v>2</v>
      </c>
      <c r="J7" t="s">
        <v>29</v>
      </c>
      <c r="P7" s="2"/>
    </row>
    <row r="8" spans="1:16" x14ac:dyDescent="0.25">
      <c r="A8" t="s">
        <v>21</v>
      </c>
      <c r="B8" t="s">
        <v>24</v>
      </c>
      <c r="C8" t="s">
        <v>23</v>
      </c>
      <c r="D8" t="s">
        <v>13</v>
      </c>
      <c r="E8">
        <v>27.68</v>
      </c>
      <c r="F8">
        <v>0.31</v>
      </c>
      <c r="G8">
        <v>0</v>
      </c>
      <c r="H8">
        <v>2</v>
      </c>
      <c r="I8">
        <v>3</v>
      </c>
      <c r="P8" s="2"/>
    </row>
    <row r="9" spans="1:16" x14ac:dyDescent="0.25">
      <c r="A9" t="s">
        <v>21</v>
      </c>
      <c r="B9" t="s">
        <v>19</v>
      </c>
      <c r="C9" t="s">
        <v>23</v>
      </c>
      <c r="D9" t="s">
        <v>15</v>
      </c>
      <c r="E9">
        <v>9.89</v>
      </c>
      <c r="G9">
        <v>1</v>
      </c>
      <c r="H9">
        <v>2</v>
      </c>
      <c r="I9">
        <v>1</v>
      </c>
      <c r="J9" t="s">
        <v>21</v>
      </c>
      <c r="M9" s="1" t="s">
        <v>54</v>
      </c>
      <c r="O9" s="1" t="s">
        <v>55</v>
      </c>
      <c r="P9" s="2"/>
    </row>
    <row r="10" spans="1:16" x14ac:dyDescent="0.25">
      <c r="A10" t="s">
        <v>21</v>
      </c>
      <c r="B10" t="s">
        <v>26</v>
      </c>
      <c r="C10" t="s">
        <v>23</v>
      </c>
      <c r="D10" t="s">
        <v>13</v>
      </c>
      <c r="E10">
        <v>9.33</v>
      </c>
      <c r="F10">
        <v>0.87</v>
      </c>
      <c r="G10">
        <v>0.84</v>
      </c>
      <c r="H10">
        <v>1</v>
      </c>
      <c r="I10">
        <v>4</v>
      </c>
      <c r="J10" t="s">
        <v>26</v>
      </c>
      <c r="M10" s="3" t="str">
        <f>LEFT(C7,5)</f>
        <v>Stadi</v>
      </c>
      <c r="O10" s="3" t="str">
        <f>SUBSTITUTE(C7,"Stadio","Stadium",1)</f>
        <v>Stadium Toumbas</v>
      </c>
    </row>
    <row r="11" spans="1:16" x14ac:dyDescent="0.25">
      <c r="A11" t="s">
        <v>27</v>
      </c>
      <c r="B11" t="s">
        <v>28</v>
      </c>
      <c r="C11" t="s">
        <v>23</v>
      </c>
      <c r="D11" t="s">
        <v>13</v>
      </c>
      <c r="E11">
        <v>6.33</v>
      </c>
      <c r="G11">
        <v>0</v>
      </c>
      <c r="H11">
        <v>0</v>
      </c>
      <c r="I11">
        <v>0</v>
      </c>
      <c r="J11" t="s">
        <v>29</v>
      </c>
      <c r="O11" s="3" t="str">
        <f>SUBSTITUTE(C2,"KaraiskÃ¡ki","Karaiskaki",1)</f>
        <v>Stadio Georgios Karaiskaki</v>
      </c>
    </row>
    <row r="12" spans="1:16" x14ac:dyDescent="0.25">
      <c r="A12" t="s">
        <v>26</v>
      </c>
      <c r="B12" t="s">
        <v>30</v>
      </c>
      <c r="C12" t="s">
        <v>23</v>
      </c>
      <c r="D12" t="s">
        <v>13</v>
      </c>
      <c r="E12">
        <v>4.57</v>
      </c>
      <c r="F12">
        <v>0.72</v>
      </c>
      <c r="G12">
        <v>0</v>
      </c>
      <c r="H12">
        <v>3</v>
      </c>
      <c r="I12">
        <v>0</v>
      </c>
      <c r="J12" t="s">
        <v>0</v>
      </c>
    </row>
    <row r="13" spans="1:16" x14ac:dyDescent="0.25">
      <c r="A13" t="s">
        <v>21</v>
      </c>
      <c r="B13" t="s">
        <v>31</v>
      </c>
      <c r="C13" t="s">
        <v>23</v>
      </c>
      <c r="D13" t="s">
        <v>15</v>
      </c>
      <c r="E13">
        <v>1</v>
      </c>
      <c r="F13">
        <v>0.93</v>
      </c>
      <c r="G13">
        <v>1</v>
      </c>
      <c r="H13">
        <v>2</v>
      </c>
      <c r="I13">
        <v>2</v>
      </c>
    </row>
    <row r="14" spans="1:16" x14ac:dyDescent="0.25">
      <c r="A14" t="s">
        <v>26</v>
      </c>
      <c r="B14" t="s">
        <v>14</v>
      </c>
      <c r="C14" t="s">
        <v>23</v>
      </c>
      <c r="D14" t="s">
        <v>15</v>
      </c>
      <c r="E14">
        <v>0.45</v>
      </c>
      <c r="F14">
        <v>0.93</v>
      </c>
      <c r="G14">
        <v>1</v>
      </c>
      <c r="H14">
        <v>1</v>
      </c>
      <c r="I14">
        <v>2</v>
      </c>
      <c r="J14" t="s">
        <v>14</v>
      </c>
    </row>
    <row r="15" spans="1:16" x14ac:dyDescent="0.25">
      <c r="A15" t="s">
        <v>21</v>
      </c>
      <c r="B15" t="s">
        <v>16</v>
      </c>
      <c r="C15" t="s">
        <v>23</v>
      </c>
      <c r="D15" t="s">
        <v>20</v>
      </c>
      <c r="E15">
        <v>8.08</v>
      </c>
      <c r="F15">
        <v>0.7</v>
      </c>
      <c r="G15">
        <v>1</v>
      </c>
      <c r="H15">
        <v>2</v>
      </c>
      <c r="I15">
        <v>0</v>
      </c>
      <c r="J15" t="s">
        <v>21</v>
      </c>
    </row>
    <row r="16" spans="1:16" x14ac:dyDescent="0.25">
      <c r="A16" t="s">
        <v>21</v>
      </c>
      <c r="B16" t="s">
        <v>11</v>
      </c>
      <c r="C16" t="s">
        <v>23</v>
      </c>
      <c r="D16" t="s">
        <v>15</v>
      </c>
      <c r="E16">
        <v>14.89</v>
      </c>
      <c r="F16">
        <v>0.7</v>
      </c>
      <c r="G16">
        <v>0.99</v>
      </c>
      <c r="H16">
        <v>2</v>
      </c>
      <c r="I16">
        <v>1</v>
      </c>
      <c r="J16" t="s">
        <v>0</v>
      </c>
    </row>
    <row r="17" spans="1:10" x14ac:dyDescent="0.25">
      <c r="A17" t="s">
        <v>11</v>
      </c>
      <c r="B17" t="s">
        <v>21</v>
      </c>
      <c r="C17" t="s">
        <v>32</v>
      </c>
      <c r="D17" t="s">
        <v>17</v>
      </c>
      <c r="E17">
        <v>18.899999999999999</v>
      </c>
      <c r="F17">
        <v>0.76</v>
      </c>
      <c r="G17">
        <v>0</v>
      </c>
      <c r="H17">
        <v>1</v>
      </c>
      <c r="I17">
        <v>2</v>
      </c>
      <c r="J17" t="s">
        <v>1</v>
      </c>
    </row>
    <row r="18" spans="1:10" x14ac:dyDescent="0.25">
      <c r="A18" t="s">
        <v>11</v>
      </c>
      <c r="B18" t="s">
        <v>22</v>
      </c>
      <c r="C18" t="s">
        <v>32</v>
      </c>
      <c r="D18" t="s">
        <v>20</v>
      </c>
      <c r="E18">
        <v>16.809999999999999</v>
      </c>
      <c r="F18">
        <v>0.83</v>
      </c>
      <c r="G18">
        <v>7.0000000000000007E-2</v>
      </c>
      <c r="H18">
        <v>2</v>
      </c>
      <c r="I18">
        <v>4</v>
      </c>
      <c r="J18" t="s">
        <v>22</v>
      </c>
    </row>
    <row r="19" spans="1:10" x14ac:dyDescent="0.25">
      <c r="A19" t="s">
        <v>11</v>
      </c>
      <c r="B19" t="s">
        <v>10</v>
      </c>
      <c r="C19" t="s">
        <v>32</v>
      </c>
      <c r="D19" t="s">
        <v>17</v>
      </c>
      <c r="E19">
        <v>7.41</v>
      </c>
      <c r="F19">
        <v>0.7</v>
      </c>
      <c r="G19">
        <v>0.82</v>
      </c>
      <c r="H19">
        <v>1</v>
      </c>
      <c r="I19">
        <v>1</v>
      </c>
    </row>
    <row r="20" spans="1:10" x14ac:dyDescent="0.25">
      <c r="A20" t="s">
        <v>11</v>
      </c>
      <c r="B20" t="s">
        <v>16</v>
      </c>
      <c r="C20" t="s">
        <v>32</v>
      </c>
      <c r="D20" t="s">
        <v>17</v>
      </c>
      <c r="E20">
        <v>16.02</v>
      </c>
      <c r="F20">
        <v>0.81</v>
      </c>
      <c r="G20">
        <v>1</v>
      </c>
      <c r="H20">
        <v>2</v>
      </c>
      <c r="I20">
        <v>1</v>
      </c>
      <c r="J20" t="s">
        <v>0</v>
      </c>
    </row>
    <row r="21" spans="1:10" x14ac:dyDescent="0.25">
      <c r="A21" t="s">
        <v>11</v>
      </c>
      <c r="B21" t="s">
        <v>33</v>
      </c>
      <c r="C21" t="s">
        <v>32</v>
      </c>
      <c r="D21" t="s">
        <v>17</v>
      </c>
      <c r="E21">
        <v>13.67</v>
      </c>
      <c r="F21">
        <v>0.76</v>
      </c>
      <c r="G21">
        <v>0.57999999999999996</v>
      </c>
      <c r="H21">
        <v>0</v>
      </c>
      <c r="I21">
        <v>1</v>
      </c>
      <c r="J21" t="s">
        <v>1</v>
      </c>
    </row>
    <row r="22" spans="1:10" x14ac:dyDescent="0.25">
      <c r="A22" t="s">
        <v>11</v>
      </c>
      <c r="B22" t="s">
        <v>25</v>
      </c>
      <c r="C22" t="s">
        <v>32</v>
      </c>
      <c r="D22" t="s">
        <v>34</v>
      </c>
      <c r="E22">
        <v>4.29</v>
      </c>
      <c r="F22">
        <v>0.62</v>
      </c>
      <c r="G22">
        <v>0.67</v>
      </c>
      <c r="H22">
        <v>1</v>
      </c>
      <c r="I22">
        <v>3</v>
      </c>
      <c r="J22" t="s">
        <v>25</v>
      </c>
    </row>
    <row r="23" spans="1:10" x14ac:dyDescent="0.25">
      <c r="A23" t="s">
        <v>22</v>
      </c>
      <c r="B23" t="s">
        <v>31</v>
      </c>
      <c r="C23" t="s">
        <v>35</v>
      </c>
      <c r="D23" t="s">
        <v>15</v>
      </c>
      <c r="E23">
        <v>13.91</v>
      </c>
      <c r="F23">
        <v>0.79</v>
      </c>
      <c r="G23">
        <v>0.99</v>
      </c>
      <c r="H23">
        <v>0</v>
      </c>
      <c r="I23">
        <v>1</v>
      </c>
      <c r="J23" t="s">
        <v>31</v>
      </c>
    </row>
    <row r="24" spans="1:10" x14ac:dyDescent="0.25">
      <c r="A24" t="s">
        <v>36</v>
      </c>
      <c r="B24" t="s">
        <v>21</v>
      </c>
      <c r="C24" t="s">
        <v>35</v>
      </c>
      <c r="D24" t="s">
        <v>20</v>
      </c>
      <c r="E24">
        <v>-8.09</v>
      </c>
      <c r="F24">
        <v>0.69</v>
      </c>
      <c r="G24">
        <v>0.75</v>
      </c>
      <c r="H24">
        <v>1</v>
      </c>
      <c r="I24">
        <v>0</v>
      </c>
      <c r="J24" t="s">
        <v>22</v>
      </c>
    </row>
    <row r="25" spans="1:10" x14ac:dyDescent="0.25">
      <c r="A25" t="s">
        <v>22</v>
      </c>
      <c r="B25" t="s">
        <v>19</v>
      </c>
      <c r="C25" t="s">
        <v>35</v>
      </c>
      <c r="D25" t="s">
        <v>13</v>
      </c>
      <c r="E25">
        <v>11.14</v>
      </c>
      <c r="G25">
        <v>0</v>
      </c>
      <c r="H25">
        <v>1</v>
      </c>
      <c r="I25">
        <v>2</v>
      </c>
      <c r="J25" t="s">
        <v>19</v>
      </c>
    </row>
    <row r="26" spans="1:10" x14ac:dyDescent="0.25">
      <c r="A26" t="s">
        <v>22</v>
      </c>
      <c r="B26" t="s">
        <v>10</v>
      </c>
      <c r="C26" t="s">
        <v>35</v>
      </c>
      <c r="D26" t="s">
        <v>20</v>
      </c>
      <c r="E26">
        <v>12.25</v>
      </c>
      <c r="F26">
        <v>0.81</v>
      </c>
      <c r="G26">
        <v>1</v>
      </c>
      <c r="H26">
        <v>0</v>
      </c>
      <c r="I26">
        <v>1</v>
      </c>
      <c r="J26" t="s">
        <v>10</v>
      </c>
    </row>
    <row r="27" spans="1:10" x14ac:dyDescent="0.25">
      <c r="A27" t="s">
        <v>22</v>
      </c>
      <c r="B27" t="s">
        <v>30</v>
      </c>
      <c r="C27" t="s">
        <v>35</v>
      </c>
      <c r="D27" t="s">
        <v>15</v>
      </c>
      <c r="E27">
        <v>14.47</v>
      </c>
      <c r="F27">
        <v>0.74</v>
      </c>
      <c r="G27">
        <v>1</v>
      </c>
      <c r="H27">
        <v>1</v>
      </c>
      <c r="I27">
        <v>2</v>
      </c>
      <c r="J27" t="s">
        <v>30</v>
      </c>
    </row>
    <row r="28" spans="1:10" x14ac:dyDescent="0.25">
      <c r="A28" t="s">
        <v>19</v>
      </c>
      <c r="B28" t="s">
        <v>25</v>
      </c>
      <c r="C28" t="s">
        <v>37</v>
      </c>
      <c r="D28" t="s">
        <v>34</v>
      </c>
      <c r="E28">
        <v>10.49</v>
      </c>
      <c r="G28">
        <v>0.63</v>
      </c>
      <c r="H28">
        <v>3</v>
      </c>
      <c r="I28">
        <v>0</v>
      </c>
      <c r="J28" t="s">
        <v>19</v>
      </c>
    </row>
    <row r="29" spans="1:10" x14ac:dyDescent="0.25">
      <c r="A29" t="s">
        <v>38</v>
      </c>
      <c r="B29" t="s">
        <v>33</v>
      </c>
      <c r="C29" t="s">
        <v>37</v>
      </c>
      <c r="D29" t="s">
        <v>39</v>
      </c>
      <c r="E29">
        <v>8.81</v>
      </c>
      <c r="F29">
        <v>0.97</v>
      </c>
      <c r="G29">
        <v>0.81</v>
      </c>
      <c r="H29">
        <v>2</v>
      </c>
      <c r="I29">
        <v>1</v>
      </c>
      <c r="J29" t="s">
        <v>19</v>
      </c>
    </row>
    <row r="30" spans="1:10" x14ac:dyDescent="0.25">
      <c r="A30" t="s">
        <v>40</v>
      </c>
      <c r="B30" t="s">
        <v>28</v>
      </c>
      <c r="C30" t="s">
        <v>37</v>
      </c>
      <c r="D30" t="s">
        <v>15</v>
      </c>
      <c r="E30">
        <v>2.77</v>
      </c>
      <c r="F30">
        <v>1</v>
      </c>
      <c r="G30">
        <v>1</v>
      </c>
      <c r="H30">
        <v>2</v>
      </c>
      <c r="I30">
        <v>0</v>
      </c>
      <c r="J30" t="s">
        <v>19</v>
      </c>
    </row>
    <row r="31" spans="1:10" x14ac:dyDescent="0.25">
      <c r="A31" t="s">
        <v>19</v>
      </c>
      <c r="B31" t="s">
        <v>16</v>
      </c>
      <c r="C31" t="s">
        <v>37</v>
      </c>
      <c r="D31" t="s">
        <v>17</v>
      </c>
      <c r="E31">
        <v>9.27</v>
      </c>
      <c r="F31">
        <v>0.89</v>
      </c>
      <c r="G31">
        <v>0.57999999999999996</v>
      </c>
      <c r="H31">
        <v>1</v>
      </c>
      <c r="I31">
        <v>0</v>
      </c>
      <c r="J31" t="s">
        <v>19</v>
      </c>
    </row>
    <row r="32" spans="1:10" x14ac:dyDescent="0.25">
      <c r="A32" t="s">
        <v>16</v>
      </c>
      <c r="B32" t="s">
        <v>21</v>
      </c>
      <c r="C32" t="s">
        <v>41</v>
      </c>
      <c r="D32" t="s">
        <v>13</v>
      </c>
      <c r="E32">
        <v>19.149999999999999</v>
      </c>
      <c r="F32">
        <v>0.53</v>
      </c>
      <c r="G32">
        <v>0</v>
      </c>
      <c r="H32">
        <v>1</v>
      </c>
      <c r="I32">
        <v>2</v>
      </c>
      <c r="J32" t="s">
        <v>21</v>
      </c>
    </row>
    <row r="33" spans="1:10" x14ac:dyDescent="0.25">
      <c r="A33" t="s">
        <v>16</v>
      </c>
      <c r="B33" t="s">
        <v>42</v>
      </c>
      <c r="C33" t="s">
        <v>41</v>
      </c>
      <c r="D33" t="s">
        <v>17</v>
      </c>
      <c r="E33">
        <v>10.8</v>
      </c>
      <c r="F33">
        <v>0.74</v>
      </c>
      <c r="G33">
        <v>0.1</v>
      </c>
      <c r="H33">
        <v>0</v>
      </c>
      <c r="I33">
        <v>1</v>
      </c>
      <c r="J33" t="s">
        <v>42</v>
      </c>
    </row>
    <row r="34" spans="1:10" x14ac:dyDescent="0.25">
      <c r="A34" t="s">
        <v>16</v>
      </c>
      <c r="B34" t="s">
        <v>30</v>
      </c>
      <c r="C34" t="s">
        <v>43</v>
      </c>
      <c r="D34" t="s">
        <v>20</v>
      </c>
      <c r="E34">
        <v>13.72</v>
      </c>
      <c r="F34">
        <v>0.88</v>
      </c>
      <c r="G34">
        <v>1</v>
      </c>
      <c r="H34">
        <v>0</v>
      </c>
      <c r="I34">
        <v>3</v>
      </c>
      <c r="J34" t="s">
        <v>30</v>
      </c>
    </row>
    <row r="35" spans="1:10" x14ac:dyDescent="0.25">
      <c r="A35" t="s">
        <v>16</v>
      </c>
      <c r="B35" t="s">
        <v>33</v>
      </c>
      <c r="C35" t="s">
        <v>41</v>
      </c>
      <c r="D35" t="s">
        <v>17</v>
      </c>
      <c r="E35">
        <v>11.91</v>
      </c>
      <c r="F35">
        <v>0.73</v>
      </c>
      <c r="G35">
        <v>0.84</v>
      </c>
      <c r="H35">
        <v>0</v>
      </c>
      <c r="I35">
        <v>2</v>
      </c>
      <c r="J35" t="s">
        <v>1</v>
      </c>
    </row>
    <row r="36" spans="1:10" x14ac:dyDescent="0.25">
      <c r="A36" t="s">
        <v>30</v>
      </c>
      <c r="B36" t="s">
        <v>22</v>
      </c>
      <c r="C36" t="s">
        <v>44</v>
      </c>
      <c r="D36" t="s">
        <v>17</v>
      </c>
      <c r="E36">
        <v>12.21</v>
      </c>
      <c r="F36">
        <v>0.56999999999999995</v>
      </c>
      <c r="G36">
        <v>0</v>
      </c>
      <c r="H36">
        <v>2</v>
      </c>
      <c r="I36">
        <v>1</v>
      </c>
      <c r="J36" t="s">
        <v>30</v>
      </c>
    </row>
    <row r="37" spans="1:10" x14ac:dyDescent="0.25">
      <c r="A37" t="s">
        <v>30</v>
      </c>
      <c r="B37" t="s">
        <v>19</v>
      </c>
      <c r="C37" t="s">
        <v>44</v>
      </c>
      <c r="D37" t="s">
        <v>13</v>
      </c>
      <c r="E37">
        <v>12.47</v>
      </c>
      <c r="F37">
        <v>0.82</v>
      </c>
      <c r="G37">
        <v>0</v>
      </c>
      <c r="H37">
        <v>0</v>
      </c>
      <c r="I37">
        <v>1</v>
      </c>
      <c r="J37" t="s">
        <v>19</v>
      </c>
    </row>
    <row r="38" spans="1:10" x14ac:dyDescent="0.25">
      <c r="A38" t="s">
        <v>30</v>
      </c>
      <c r="B38" t="s">
        <v>10</v>
      </c>
      <c r="C38" t="s">
        <v>44</v>
      </c>
      <c r="D38" t="s">
        <v>13</v>
      </c>
      <c r="E38">
        <v>14.82</v>
      </c>
      <c r="G38">
        <v>0</v>
      </c>
      <c r="H38">
        <v>1</v>
      </c>
      <c r="I38">
        <v>2</v>
      </c>
      <c r="J38" t="s">
        <v>1</v>
      </c>
    </row>
    <row r="39" spans="1:10" x14ac:dyDescent="0.25">
      <c r="A39" t="s">
        <v>30</v>
      </c>
      <c r="B39" t="s">
        <v>11</v>
      </c>
      <c r="C39" t="s">
        <v>44</v>
      </c>
      <c r="D39" t="s">
        <v>34</v>
      </c>
      <c r="E39">
        <v>6.01</v>
      </c>
      <c r="F39">
        <v>0.73</v>
      </c>
      <c r="G39">
        <v>0.25</v>
      </c>
      <c r="H39">
        <v>1</v>
      </c>
      <c r="I39">
        <v>2</v>
      </c>
      <c r="J39" t="s">
        <v>11</v>
      </c>
    </row>
    <row r="40" spans="1:10" x14ac:dyDescent="0.25">
      <c r="A40" t="s">
        <v>25</v>
      </c>
      <c r="B40" t="s">
        <v>10</v>
      </c>
      <c r="C40" t="s">
        <v>45</v>
      </c>
      <c r="D40" t="s">
        <v>20</v>
      </c>
      <c r="E40">
        <v>15.46</v>
      </c>
      <c r="F40">
        <v>0.73</v>
      </c>
      <c r="G40">
        <v>0.5</v>
      </c>
      <c r="H40">
        <v>0</v>
      </c>
      <c r="I40">
        <v>2</v>
      </c>
      <c r="J40" t="s">
        <v>1</v>
      </c>
    </row>
    <row r="41" spans="1:10" x14ac:dyDescent="0.25">
      <c r="A41" t="s">
        <v>25</v>
      </c>
      <c r="B41" t="s">
        <v>42</v>
      </c>
      <c r="C41" t="s">
        <v>45</v>
      </c>
      <c r="D41" t="s">
        <v>20</v>
      </c>
      <c r="E41">
        <v>18.899999999999999</v>
      </c>
      <c r="F41">
        <v>0.72</v>
      </c>
      <c r="G41">
        <v>0</v>
      </c>
      <c r="H41">
        <v>1</v>
      </c>
      <c r="I41">
        <v>2</v>
      </c>
      <c r="J41" t="s">
        <v>42</v>
      </c>
    </row>
    <row r="42" spans="1:10" x14ac:dyDescent="0.25">
      <c r="A42" t="s">
        <v>25</v>
      </c>
      <c r="B42" t="s">
        <v>14</v>
      </c>
      <c r="C42" t="s">
        <v>45</v>
      </c>
      <c r="D42" t="s">
        <v>34</v>
      </c>
      <c r="E42">
        <v>15.97</v>
      </c>
      <c r="F42">
        <v>0.72</v>
      </c>
      <c r="G42">
        <v>0</v>
      </c>
      <c r="H42">
        <v>4</v>
      </c>
      <c r="I42">
        <v>0</v>
      </c>
      <c r="J42" t="s">
        <v>0</v>
      </c>
    </row>
    <row r="43" spans="1:10" x14ac:dyDescent="0.25">
      <c r="A43" t="s">
        <v>25</v>
      </c>
      <c r="B43" t="s">
        <v>22</v>
      </c>
      <c r="C43" t="s">
        <v>45</v>
      </c>
      <c r="D43" t="s">
        <v>17</v>
      </c>
      <c r="E43">
        <v>15.27</v>
      </c>
      <c r="F43">
        <v>0.75</v>
      </c>
      <c r="G43">
        <v>1</v>
      </c>
      <c r="H43">
        <v>0</v>
      </c>
      <c r="I43">
        <v>0</v>
      </c>
      <c r="J43" t="s">
        <v>29</v>
      </c>
    </row>
    <row r="44" spans="1:10" x14ac:dyDescent="0.25">
      <c r="A44" t="s">
        <v>25</v>
      </c>
      <c r="B44" t="s">
        <v>21</v>
      </c>
      <c r="C44" t="s">
        <v>2</v>
      </c>
      <c r="D44" t="s">
        <v>17</v>
      </c>
      <c r="E44">
        <v>15.8</v>
      </c>
      <c r="F44">
        <v>0.77</v>
      </c>
      <c r="G44">
        <v>0.13</v>
      </c>
      <c r="H44">
        <v>3</v>
      </c>
      <c r="I44">
        <v>2</v>
      </c>
      <c r="J44" t="s">
        <v>25</v>
      </c>
    </row>
    <row r="45" spans="1:10" x14ac:dyDescent="0.25">
      <c r="A45" t="s">
        <v>25</v>
      </c>
      <c r="B45" t="s">
        <v>16</v>
      </c>
      <c r="C45" t="s">
        <v>45</v>
      </c>
      <c r="D45" t="s">
        <v>17</v>
      </c>
      <c r="E45">
        <v>16.66</v>
      </c>
      <c r="F45">
        <v>0.73</v>
      </c>
      <c r="G45">
        <v>1</v>
      </c>
      <c r="H45">
        <v>3</v>
      </c>
      <c r="I45">
        <v>0</v>
      </c>
      <c r="J45" t="s">
        <v>0</v>
      </c>
    </row>
    <row r="46" spans="1:10" x14ac:dyDescent="0.25">
      <c r="A46" t="s">
        <v>28</v>
      </c>
      <c r="B46" t="s">
        <v>16</v>
      </c>
      <c r="C46" t="s">
        <v>46</v>
      </c>
      <c r="D46" t="s">
        <v>13</v>
      </c>
      <c r="E46">
        <v>23.34</v>
      </c>
      <c r="F46">
        <v>0.76</v>
      </c>
      <c r="G46">
        <v>0.24</v>
      </c>
      <c r="H46">
        <v>0</v>
      </c>
      <c r="I46">
        <v>1</v>
      </c>
      <c r="J46" t="s">
        <v>16</v>
      </c>
    </row>
    <row r="47" spans="1:10" x14ac:dyDescent="0.25">
      <c r="A47" t="s">
        <v>28</v>
      </c>
      <c r="B47" t="s">
        <v>10</v>
      </c>
      <c r="C47" t="s">
        <v>46</v>
      </c>
      <c r="D47" t="s">
        <v>15</v>
      </c>
      <c r="E47">
        <v>10.86</v>
      </c>
      <c r="F47">
        <v>0.94</v>
      </c>
      <c r="G47">
        <v>0.24</v>
      </c>
      <c r="H47">
        <v>0</v>
      </c>
      <c r="I47">
        <v>2</v>
      </c>
      <c r="J47" t="s">
        <v>10</v>
      </c>
    </row>
    <row r="48" spans="1:10" x14ac:dyDescent="0.25">
      <c r="A48" t="s">
        <v>28</v>
      </c>
      <c r="B48" t="s">
        <v>25</v>
      </c>
      <c r="C48" t="s">
        <v>46</v>
      </c>
      <c r="D48" t="s">
        <v>13</v>
      </c>
      <c r="E48">
        <v>10.75</v>
      </c>
      <c r="G48">
        <v>0</v>
      </c>
      <c r="H48">
        <v>1</v>
      </c>
      <c r="I48">
        <v>0</v>
      </c>
      <c r="J48" t="s">
        <v>28</v>
      </c>
    </row>
    <row r="49" spans="1:10" x14ac:dyDescent="0.25">
      <c r="A49" t="s">
        <v>47</v>
      </c>
      <c r="B49" t="s">
        <v>21</v>
      </c>
      <c r="C49" t="s">
        <v>48</v>
      </c>
      <c r="D49" t="s">
        <v>15</v>
      </c>
      <c r="E49">
        <v>10.15</v>
      </c>
      <c r="F49">
        <v>0.73</v>
      </c>
      <c r="G49">
        <v>1</v>
      </c>
      <c r="H49">
        <v>1</v>
      </c>
      <c r="I49">
        <v>0</v>
      </c>
      <c r="J49" t="s">
        <v>33</v>
      </c>
    </row>
    <row r="50" spans="1:10" x14ac:dyDescent="0.25">
      <c r="A50" t="s">
        <v>33</v>
      </c>
      <c r="B50" t="s">
        <v>25</v>
      </c>
      <c r="C50" t="s">
        <v>48</v>
      </c>
      <c r="D50" t="s">
        <v>20</v>
      </c>
      <c r="E50">
        <v>9.74</v>
      </c>
      <c r="F50">
        <v>0.77</v>
      </c>
      <c r="G50">
        <v>0.96</v>
      </c>
      <c r="H50">
        <v>0</v>
      </c>
      <c r="I50">
        <v>2</v>
      </c>
      <c r="J50" t="s">
        <v>25</v>
      </c>
    </row>
    <row r="51" spans="1:10" x14ac:dyDescent="0.25">
      <c r="A51" t="s">
        <v>33</v>
      </c>
      <c r="B51" t="s">
        <v>28</v>
      </c>
      <c r="C51" t="s">
        <v>48</v>
      </c>
      <c r="D51" t="s">
        <v>20</v>
      </c>
      <c r="E51">
        <v>-3.0599999999999898</v>
      </c>
      <c r="F51">
        <v>0.71</v>
      </c>
      <c r="G51">
        <v>0.99</v>
      </c>
      <c r="H51">
        <v>2</v>
      </c>
      <c r="I51">
        <v>1</v>
      </c>
      <c r="J51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SuperLeague24_25-RegularSeason-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Nikos-PC</dc:creator>
  <cp:lastModifiedBy>Kiriaki Michailidou</cp:lastModifiedBy>
  <dcterms:created xsi:type="dcterms:W3CDTF">2025-04-09T10:39:21Z</dcterms:created>
  <dcterms:modified xsi:type="dcterms:W3CDTF">2025-09-24T17:00:29Z</dcterms:modified>
</cp:coreProperties>
</file>